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mographics" sheetId="2" state="visible" r:id="rId4"/>
    <sheet name="Likert Analysis" sheetId="3" state="visible" r:id="rId5"/>
    <sheet name="Multiple Choice" sheetId="4" state="visible" r:id="rId6"/>
    <sheet name="Open-Ended Themes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<sst xmlns="http://schemas.openxmlformats.org/spreadsheetml/2006/main" count="219" uniqueCount="111">
  <si>
    <t xml:space="preserve">Student Motivation &amp; Engagement Survey</t>
  </si>
  <si>
    <t xml:space="preserve">SafeX Solutions Internship, Group 43 Research Module</t>
  </si>
  <si>
    <t xml:space="preserve">Analysis prepared by: Yashal Manaiem Javaid</t>
  </si>
  <si>
    <t xml:space="preserve">Key Metrics</t>
  </si>
  <si>
    <t xml:space="preserve">Total responses (main survey Q1-Q11)</t>
  </si>
  <si>
    <t xml:space="preserve">Total responses (follow-up Q12-Q15)</t>
  </si>
  <si>
    <t xml:space="preserve">Number of Likert-scale items</t>
  </si>
  <si>
    <t xml:space="preserve">Number of open-ended items</t>
  </si>
  <si>
    <t xml:space="preserve">Number of multiple-choice items</t>
  </si>
  <si>
    <t xml:space="preserve">Top Findings</t>
  </si>
  <si>
    <t xml:space="preserve">1. Feedback drives motivation. 94% of respondents agree or strongly agree that regular feedback would increase their motivation, the strongest single signal in the survey.</t>
  </si>
  <si>
    <t xml:space="preserve">2. Relevance is the biggest motivation killer. 87.5% agree that they lose motivation when a course feels irrelevant to their future goals, echoed strongly in the open-ended responses.</t>
  </si>
  <si>
    <t xml:space="preserve">3. Self-discipline is a common gap. Only 10% of respondents follow through on their own study plans consistently; 70% disagree or strongly disagree.</t>
  </si>
  <si>
    <t xml:space="preserve">4. Classes are seen as too theoretical. Across open-ended answers, students repeatedly ask for more practical work, hands-on learning, and real-world application over rote memorization.</t>
  </si>
  <si>
    <t xml:space="preserve">5. Distraction sets in mid-session. 50% report losing focus mid-way through a study session rather than at the start.</t>
  </si>
  <si>
    <t xml:space="preserve">6. Interactive learning is the most desired change. Interactive/hands-on activities and smaller discussion groups tied as the top two requested improvements (50% each).</t>
  </si>
  <si>
    <t xml:space="preserve">Recommendations</t>
  </si>
  <si>
    <t xml:space="preserve">Introduce regular, constructive feedback into all courses, not only at exam periods.</t>
  </si>
  <si>
    <t xml:space="preserve">Anchor every course topic to a real-world application or career use-case at the outset.</t>
  </si>
  <si>
    <t xml:space="preserve">Shift the weighting of teaching from lectures toward discussion, projects, and hands-on activity.</t>
  </si>
  <si>
    <t xml:space="preserve">Provide accountability structures (study groups, micro-goal tracking) to help students follow through on their own plans.</t>
  </si>
  <si>
    <t xml:space="preserve">Train faculty on engagement techniques; students explicitly cited teachers who only read from slides as a major demotivator.</t>
  </si>
  <si>
    <t xml:space="preserve">Q1. Current Level of Study</t>
  </si>
  <si>
    <t xml:space="preserve">Study Level</t>
  </si>
  <si>
    <t xml:space="preserve">Count</t>
  </si>
  <si>
    <t xml:space="preserve">Percentage</t>
  </si>
  <si>
    <t xml:space="preserve">Undergraduate Year 1</t>
  </si>
  <si>
    <t xml:space="preserve">Undergraduate Year 2</t>
  </si>
  <si>
    <t xml:space="preserve">Undergraduate Year 3 or above</t>
  </si>
  <si>
    <t xml:space="preserve">Graduate / Postgraduate</t>
  </si>
  <si>
    <t xml:space="preserve">Total</t>
  </si>
  <si>
    <t xml:space="preserve">Likert-Scale Response Analysis</t>
  </si>
  <si>
    <t xml:space="preserve">Agreement % = (Agree + Strongly Agree) / Total responses</t>
  </si>
  <si>
    <t xml:space="preserve">Statement</t>
  </si>
  <si>
    <t xml:space="preserve">Strongly Disagree</t>
  </si>
  <si>
    <t xml:space="preserve">Disagree</t>
  </si>
  <si>
    <t xml:space="preserve">Neutral</t>
  </si>
  <si>
    <t xml:space="preserve">Agree</t>
  </si>
  <si>
    <t xml:space="preserve">Strongly Agree</t>
  </si>
  <si>
    <t xml:space="preserve">Agreement %</t>
  </si>
  <si>
    <t xml:space="preserve">Q2. I feel motivated to attend my classes regularly</t>
  </si>
  <si>
    <t xml:space="preserve">Q3. I study because I'm genuinely interested in the subject, not just to pass exams</t>
  </si>
  <si>
    <t xml:space="preserve">Q4. I lose motivation when a course feels irrelevant to my future goals</t>
  </si>
  <si>
    <t xml:space="preserve">Q5. I feel more motivated when I get regular feedback on my progress</t>
  </si>
  <si>
    <t xml:space="preserve">Q6. I actively participate in class discussions or activities</t>
  </si>
  <si>
    <t xml:space="preserve">Q7. I use a consistent study routine (fixed times/days) rather than only studying before exams</t>
  </si>
  <si>
    <t xml:space="preserve">Q8. Group work and peer interaction help me stay engaged with course material</t>
  </si>
  <si>
    <t xml:space="preserve">Q12. I follow through on study plans I set for myself (n=10)</t>
  </si>
  <si>
    <t xml:space="preserve">Multiple-Choice Response Analysis</t>
  </si>
  <si>
    <t xml:space="preserve">Q13. When are you most likely to get distracted while studying? (n=10)</t>
  </si>
  <si>
    <t xml:space="preserve">Option</t>
  </si>
  <si>
    <t xml:space="preserve">Right when I start (hard to get going)</t>
  </si>
  <si>
    <t xml:space="preserve">Mid-way through (lose focus after a while)</t>
  </si>
  <si>
    <t xml:space="preserve">Whenever my phone buzzes</t>
  </si>
  <si>
    <t xml:space="preserve">When the material feels boring or too hard</t>
  </si>
  <si>
    <t xml:space="preserve">I rarely get distracted</t>
  </si>
  <si>
    <t xml:space="preserve">Q14. Which factors would most improve your engagement in class? (multi-select, n=10)</t>
  </si>
  <si>
    <t xml:space="preserve">Factor</t>
  </si>
  <si>
    <t xml:space="preserve">% Selecting</t>
  </si>
  <si>
    <t xml:space="preserve">More interactive/hands-on activities</t>
  </si>
  <si>
    <t xml:space="preserve">Regular feedback on performance</t>
  </si>
  <si>
    <t xml:space="preserve">Smaller class sizes or discussion groups</t>
  </si>
  <si>
    <t xml:space="preserve">Real-world relevance of the material</t>
  </si>
  <si>
    <t xml:space="preserve">Flexible deadlines</t>
  </si>
  <si>
    <t xml:space="preserve">Recognition or incentives for participation</t>
  </si>
  <si>
    <t xml:space="preserve">Open-Ended Response Themes</t>
  </si>
  <si>
    <t xml:space="preserve">Question</t>
  </si>
  <si>
    <t xml:space="preserve">Theme</t>
  </si>
  <si>
    <t xml:space="preserve">Representative Responses</t>
  </si>
  <si>
    <t xml:space="preserve">Q9. Biggest motivation killer</t>
  </si>
  <si>
    <t xml:space="preserve">Irrelevant / disconnected material</t>
  </si>
  <si>
    <t xml:space="preserve">'Lack of clear relevance, feeling like the material won't matter in the real world'; 'It has no benefit or is irrelevant to our course'; 'Lack of clear, immediate relevance to my goals or real life'</t>
  </si>
  <si>
    <t xml:space="preserve">Passive teaching style</t>
  </si>
  <si>
    <t xml:space="preserve">'Non-engaging classes, or classes that just read off the slides'; 'The teacher just reading off of slides'; 'Teachers not knowing their subjects'</t>
  </si>
  <si>
    <t xml:space="preserve">Personal/emotional factors</t>
  </si>
  <si>
    <t xml:space="preserve">'Burnout'; 'Bad feedback from teachers'; 'When someone degrades me or when I'm trying so hard but still failing'; 'Dil nai kr raha'</t>
  </si>
  <si>
    <t xml:space="preserve">Distraction and scheduling</t>
  </si>
  <si>
    <t xml:space="preserve">'My phone'; 'Mobile, laziness, reels, sleeping'; 'Early morning classes'; 'Morning classes and workload'</t>
  </si>
  <si>
    <t xml:space="preserve">Q10. One thing to change about courses</t>
  </si>
  <si>
    <t xml:space="preserve">Shift from theory to practice</t>
  </si>
  <si>
    <t xml:space="preserve">'More hands-on practice, less lecture heavy theory'; 'More practical examples and projects'; 'Focus should be on understanding and not grades'; 'Something practical and engaging'</t>
  </si>
  <si>
    <t xml:space="preserve">Structural / delivery changes</t>
  </si>
  <si>
    <t xml:space="preserve">'More organized and make discussion mandatory'; 'More interactive, discussion-based learning instead of one-way lectures'; 'Integrate the use of AI to summarise them'</t>
  </si>
  <si>
    <t xml:space="preserve">Q11. Support that would help engagement</t>
  </si>
  <si>
    <t xml:space="preserve">Constructive feedback and encouragement</t>
  </si>
  <si>
    <t xml:space="preserve">'Feedback and hands on practice'; 'Teachers providing constructive feedback and clear goals'; 'Praise'; 'That I'm doing good and if they're kindly helping instead of making me feel small'</t>
  </si>
  <si>
    <t xml:space="preserve">Emotional / mental support</t>
  </si>
  <si>
    <t xml:space="preserve">'Kindness'; 'Mental and emotional support'; 'If I can't understand something they should help'</t>
  </si>
  <si>
    <t xml:space="preserve">Q15. Ideal online learning feature</t>
  </si>
  <si>
    <t xml:space="preserve">Real-world relevance tracking</t>
  </si>
  <si>
    <t xml:space="preserve">'A real-world impact tracker showing how each lesson directly applies to actual careers or everyday problems'</t>
  </si>
  <si>
    <t xml:space="preserve">Accountability and gamification</t>
  </si>
  <si>
    <t xml:space="preserve">'Accountability &amp; Study Group'; 'Micro-Goal Tracking &amp; Streak Building'; 'Games that help you learn'; 'Appreciation and rewards'</t>
  </si>
  <si>
    <t xml:space="preserve">Raw Survey Data Reference</t>
  </si>
  <si>
    <t xml:space="preserve">Response counts as recorded from the Google Forms export</t>
  </si>
  <si>
    <t xml:space="preserve">Q#</t>
  </si>
  <si>
    <t xml:space="preserve">Question / Option</t>
  </si>
  <si>
    <t xml:space="preserve">n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</si>
  <si>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</si>
  <si>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</si>
  <si>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</si>
  <si>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</si>
  <si>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</si>
  <si>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</si>
  <si>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</si>
  <si>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</si>
  <si>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Q12</t>
  </si>
  <si>
    <t xml:space="preserve">Q13</t>
  </si>
  <si>
    <t xml:space="preserve">Right when I start</t>
  </si>
  <si>
    <t xml:space="preserve">Mid-way through</t>
  </si>
  <si>
    <t xml:space="preserve">Q14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</si>
</sst>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Study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Demographics!C4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Demographics!$B$5:$B$8</c:f>
              <c:strCache>
                <c:ptCount val="4"/>
                <c:pt idx="0">
                  <c:v>Undergraduate Year 1</c:v>
                </c:pt>
                <c:pt idx="1">
                  <c:v>Undergraduate Year 2</c:v>
                </c:pt>
                <c:pt idx="2">
                  <c:v>Undergraduate Year 3 or above</c:v>
                </c:pt>
                <c:pt idx="3">
                  <c:v>Graduate / Postgraduate</c:v>
                </c:pt>
              </c:strCache>
            </c:strRef>
          </c:cat>
          <c:val>
            <c:numRef>
              <c:f>Demographics!$C$5:$C$8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Agreement % by Statement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'Likert Analysis'!I5</c:f>
              <c:strCache>
                <c:ptCount val="1"/>
                <c:pt idx="0">
                  <c:v>Agreement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'Likert Analysis'!$B$6:$B$13</c:f>
              <c:strCache>
                <c:ptCount val="8"/>
                <c:pt idx="0">
                  <c:v>Q2. I feel motivated to attend my classes regularly</c:v>
                </c:pt>
                <c:pt idx="1">
                  <c:v>Q3. I study because I'm genuinely interested in the subject, not just to pass exams</c:v>
                </c:pt>
                <c:pt idx="2">
                  <c:v>Q4. I lose motivation when a course feels irrelevant to my future goals</c:v>
                </c:pt>
                <c:pt idx="3">
                  <c:v>Q5. I feel more motivated when I get regular feedback on my progress</c:v>
                </c:pt>
                <c:pt idx="4">
                  <c:v>Q6. I actively participate in class discussions or activities</c:v>
                </c:pt>
                <c:pt idx="5">
                  <c:v>Q7. I use a consistent study routine (fixed times/days) rather than only studying before exams</c:v>
                </c:pt>
                <c:pt idx="6">
                  <c:v>Q8. Group work and peer interaction help me stay engaged with course material</c:v>
                </c:pt>
                <c:pt idx="7">
                  <c:v>Q12. I follow through on study plans I set for myself (n=10)</c:v>
                </c:pt>
              </c:strCache>
            </c:strRef>
          </c:cat>
          <c:val>
            <c:numRef>
              <c:f>'Likert Analysis'!$I$6:$I$13</c:f>
              <c:numCache>
                <c:formatCode>0.0%</c:formatCode>
                <c:ptCount val="8"/>
                <c:pt idx="0">
                  <c:v>0.4375</c:v>
                </c:pt>
                <c:pt idx="1">
                  <c:v>0.375</c:v>
                </c:pt>
                <c:pt idx="2">
                  <c:v>0.875</c:v>
                </c:pt>
                <c:pt idx="3">
                  <c:v>0.9375</c:v>
                </c:pt>
                <c:pt idx="4">
                  <c:v>0.5625</c:v>
                </c:pt>
                <c:pt idx="5">
                  <c:v>0.3125</c:v>
                </c:pt>
                <c:pt idx="6">
                  <c:v>0.5625</c:v>
                </c:pt>
                <c:pt idx="7">
                  <c:v>0.1</c:v>
                </c:pt>
              </c:numCache>
            </c:numRef>
          </c:val>
        </c:ser>
        <c:gapWidth val="150"/>
        <c:overlap val="0"/>
        <c:axId val="52673619"/>
        <c:axId val="39737606"/>
      </c:barChart>
      <c:catAx>
        <c:axId val="5267361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Agreement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37606"/>
        <c:crosses val="autoZero"/>
        <c:auto val="1"/>
        <c:lblAlgn val="ctr"/>
        <c:lblOffset val="100"/>
        <c:noMultiLvlLbl val="0"/>
      </c:catAx>
      <c:valAx>
        <c:axId val="39737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73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Factors (% selecting)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'Multiple Choice'!D14</c:f>
              <c:strCache>
                <c:ptCount val="1"/>
                <c:pt idx="0">
                  <c:v>% Selecting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'Multiple Choice'!$B$15:$B$20</c:f>
              <c:strCache>
                <c:ptCount val="6"/>
                <c:pt idx="0">
                  <c:v>More interactive/hands-on activities</c:v>
                </c:pt>
                <c:pt idx="1">
                  <c:v>Regular feedback on performance</c:v>
                </c:pt>
                <c:pt idx="2">
                  <c:v>Smaller class sizes or discussion groups</c:v>
                </c:pt>
                <c:pt idx="3">
                  <c:v>Real-world relevance of the material</c:v>
                </c:pt>
                <c:pt idx="4">
                  <c:v>Flexible deadlines</c:v>
                </c:pt>
                <c:pt idx="5">
                  <c:v>Recognition or incentives for participation</c:v>
                </c:pt>
              </c:strCache>
            </c:strRef>
          </c:cat>
          <c:val>
            <c:numRef>
              <c:f>'Multiple Choice'!$D$15:$D$20</c:f>
              <c:numCache>
                <c:formatCode>0.0%</c:formatCode>
                <c:ptCount val="6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0.3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</c:ser>
        <c:gapWidth val="150"/>
        <c:overlap val="0"/>
        <c:axId val="17354054"/>
        <c:axId val="1450100"/>
      </c:barChart>
      <c:catAx>
        <c:axId val="17354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0100"/>
        <c:crosses val="autoZero"/>
        <c:auto val="1"/>
        <c:lblAlgn val="ctr"/>
        <c:lblOffset val="100"/>
        <c:noMultiLvlLbl val="0"/>
      </c:catAx>
      <c:valAx>
        <c:axId val="1450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54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147600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5122440" y="571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10080</xdr:rowOff>
    </xdr:from>
    <xdr:to>
      <xdr:col>8</xdr:col>
      <xdr:colOff>307080</xdr:colOff>
      <xdr:row>36</xdr:row>
      <xdr:rowOff>138600</xdr:rowOff>
    </xdr:to>
    <xdr:graphicFrame>
      <xdr:nvGraphicFramePr>
        <xdr:cNvPr id="1" name="Chart 1"/>
        <xdr:cNvGraphicFramePr/>
      </xdr:nvGraphicFramePr>
      <xdr:xfrm>
        <a:off x="281880" y="45338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10080</xdr:rowOff>
    </xdr:from>
    <xdr:to>
      <xdr:col>15</xdr:col>
      <xdr:colOff>364320</xdr:colOff>
      <xdr:row>30</xdr:row>
      <xdr:rowOff>30240</xdr:rowOff>
    </xdr:to>
    <xdr:graphicFrame>
      <xdr:nvGraphicFramePr>
        <xdr:cNvPr id="2" name="Chart 1"/>
        <xdr:cNvGraphicFramePr/>
      </xdr:nvGraphicFramePr>
      <xdr:xfrm>
        <a:off x="610920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4" min="3" style="0" width="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 t="s">
        <v>4</v>
      </c>
      <c r="C7" s="5" t="n">
        <v>16</v>
      </c>
    </row>
    <row r="8" customFormat="false" ht="15" hidden="false" customHeight="false" outlineLevel="0" collapsed="false">
      <c r="B8" s="3" t="s">
        <v>5</v>
      </c>
      <c r="C8" s="5" t="n">
        <v>10</v>
      </c>
    </row>
    <row r="9" customFormat="false" ht="15" hidden="false" customHeight="false" outlineLevel="0" collapsed="false">
      <c r="B9" s="3" t="s">
        <v>6</v>
      </c>
      <c r="C9" s="5" t="n">
        <v>8</v>
      </c>
    </row>
    <row r="10" customFormat="false" ht="15" hidden="false" customHeight="false" outlineLevel="0" collapsed="false">
      <c r="B10" s="3" t="s">
        <v>7</v>
      </c>
      <c r="C10" s="5" t="n">
        <v>4</v>
      </c>
    </row>
    <row r="11" customFormat="false" ht="15" hidden="false" customHeight="false" outlineLevel="0" collapsed="false">
      <c r="B11" s="3" t="s">
        <v>8</v>
      </c>
      <c r="C11" s="5" t="n">
        <v>3</v>
      </c>
    </row>
    <row r="13" customFormat="false" ht="15" hidden="false" customHeight="false" outlineLevel="0" collapsed="false">
      <c r="B13" s="4" t="s">
        <v>9</v>
      </c>
    </row>
    <row r="14" customFormat="false" ht="45" hidden="false" customHeight="true" outlineLevel="0" collapsed="false">
      <c r="B14" s="6" t="s">
        <v>10</v>
      </c>
    </row>
    <row r="15" customFormat="false" ht="45" hidden="false" customHeight="true" outlineLevel="0" collapsed="false">
      <c r="B15" s="6" t="s">
        <v>11</v>
      </c>
    </row>
    <row r="16" customFormat="false" ht="45" hidden="false" customHeight="true" outlineLevel="0" collapsed="false">
      <c r="B16" s="6" t="s">
        <v>12</v>
      </c>
    </row>
    <row r="17" customFormat="false" ht="45" hidden="false" customHeight="true" outlineLevel="0" collapsed="false">
      <c r="B17" s="6" t="s">
        <v>13</v>
      </c>
    </row>
    <row r="18" customFormat="false" ht="45" hidden="false" customHeight="true" outlineLevel="0" collapsed="false">
      <c r="B18" s="6" t="s">
        <v>14</v>
      </c>
    </row>
    <row r="19" customFormat="false" ht="45" hidden="false" customHeight="true" outlineLevel="0" collapsed="false">
      <c r="B19" s="6" t="s">
        <v>15</v>
      </c>
    </row>
    <row r="21" customFormat="false" ht="15" hidden="false" customHeight="false" outlineLevel="0" collapsed="false">
      <c r="B21" s="4" t="s">
        <v>16</v>
      </c>
    </row>
    <row r="22" customFormat="false" ht="30" hidden="false" customHeight="true" outlineLevel="0" collapsed="false">
      <c r="B22" s="6" t="s">
        <v>17</v>
      </c>
    </row>
    <row r="23" customFormat="false" ht="30" hidden="false" customHeight="true" outlineLevel="0" collapsed="false">
      <c r="B23" s="6" t="s">
        <v>18</v>
      </c>
    </row>
    <row r="24" customFormat="false" ht="30" hidden="false" customHeight="true" outlineLevel="0" collapsed="false">
      <c r="B24" s="6" t="s">
        <v>19</v>
      </c>
    </row>
    <row r="25" customFormat="false" ht="30" hidden="false" customHeight="true" outlineLevel="0" collapsed="false">
      <c r="B25" s="6" t="s">
        <v>20</v>
      </c>
    </row>
    <row r="26" customFormat="false" ht="30" hidden="false" customHeight="true" outlineLevel="0" collapsed="false">
      <c r="B26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4"/>
  </cols>
  <sheetData>
    <row r="2" customFormat="false" ht="17.35" hidden="false" customHeight="false" outlineLevel="0" collapsed="false">
      <c r="B2" s="1" t="s">
        <v>22</v>
      </c>
    </row>
    <row r="4" customFormat="false" ht="15" hidden="false" customHeight="false" outlineLevel="0" collapsed="false">
      <c r="B4" s="7" t="s">
        <v>23</v>
      </c>
      <c r="C4" s="7" t="s">
        <v>24</v>
      </c>
      <c r="D4" s="7" t="s">
        <v>25</v>
      </c>
    </row>
    <row r="5" customFormat="false" ht="15" hidden="false" customHeight="false" outlineLevel="0" collapsed="false">
      <c r="B5" s="8" t="s">
        <v>26</v>
      </c>
      <c r="C5" s="9" t="n">
        <v>5</v>
      </c>
      <c r="D5" s="10" t="n">
        <f aca="false">C5/SUM($C$5:$C$8)</f>
        <v>0.3125</v>
      </c>
    </row>
    <row r="6" customFormat="false" ht="15" hidden="false" customHeight="false" outlineLevel="0" collapsed="false">
      <c r="B6" s="8" t="s">
        <v>27</v>
      </c>
      <c r="C6" s="9" t="n">
        <v>4</v>
      </c>
      <c r="D6" s="10" t="n">
        <f aca="false">C6/SUM($C$5:$C$8)</f>
        <v>0.25</v>
      </c>
    </row>
    <row r="7" customFormat="false" ht="15" hidden="false" customHeight="false" outlineLevel="0" collapsed="false">
      <c r="B7" s="8" t="s">
        <v>28</v>
      </c>
      <c r="C7" s="9" t="n">
        <v>5</v>
      </c>
      <c r="D7" s="10" t="n">
        <f aca="false">C7/SUM($C$5:$C$8)</f>
        <v>0.3125</v>
      </c>
    </row>
    <row r="8" customFormat="false" ht="15" hidden="false" customHeight="false" outlineLevel="0" collapsed="false">
      <c r="B8" s="8" t="s">
        <v>29</v>
      </c>
      <c r="C8" s="9" t="n">
        <v>2</v>
      </c>
      <c r="D8" s="10" t="n">
        <f aca="false">C8/SUM($C$5:$C$8)</f>
        <v>0.125</v>
      </c>
    </row>
    <row r="9" customFormat="false" ht="15" hidden="false" customHeight="false" outlineLevel="0" collapsed="false">
      <c r="B9" s="11" t="s">
        <v>30</v>
      </c>
      <c r="C9" s="12" t="n">
        <f aca="false">SUM(C5:C8)</f>
        <v>16</v>
      </c>
      <c r="D9" s="13" t="n">
        <f aca="false">SUM(D5:D8)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8" min="3" style="0" width="10"/>
    <col collapsed="false" customWidth="true" hidden="false" outlineLevel="0" max="9" min="9" style="0" width="12"/>
    <col collapsed="false" customWidth="true" hidden="false" outlineLevel="0" max="10" min="10" style="0" width="15"/>
  </cols>
  <sheetData>
    <row r="2" customFormat="false" ht="17.35" hidden="false" customHeight="false" outlineLevel="0" collapsed="false">
      <c r="B2" s="1" t="s">
        <v>31</v>
      </c>
    </row>
    <row r="3" customFormat="false" ht="15" hidden="false" customHeight="false" outlineLevel="0" collapsed="false">
      <c r="B3" s="14" t="s">
        <v>32</v>
      </c>
    </row>
    <row r="5" customFormat="false" ht="26.85" hidden="false" customHeight="false" outlineLevel="0" collapsed="false">
      <c r="B5" s="7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30</v>
      </c>
      <c r="I5" s="7" t="s">
        <v>39</v>
      </c>
    </row>
    <row r="6" customFormat="false" ht="31.5" hidden="false" customHeight="true" outlineLevel="0" collapsed="false">
      <c r="B6" s="15" t="s">
        <v>40</v>
      </c>
      <c r="C6" s="16" t="n">
        <v>0</v>
      </c>
      <c r="D6" s="16" t="n">
        <v>7</v>
      </c>
      <c r="E6" s="16" t="n">
        <v>2</v>
      </c>
      <c r="F6" s="16" t="n">
        <v>6</v>
      </c>
      <c r="G6" s="16" t="n">
        <v>1</v>
      </c>
      <c r="H6" s="16" t="n">
        <f aca="false">SUM(C6:G6)</f>
        <v>16</v>
      </c>
      <c r="I6" s="17" t="n">
        <f aca="false">(F6+G6)/H6</f>
        <v>0.4375</v>
      </c>
    </row>
    <row r="7" customFormat="false" ht="31.5" hidden="false" customHeight="true" outlineLevel="0" collapsed="false">
      <c r="B7" s="15" t="s">
        <v>41</v>
      </c>
      <c r="C7" s="16" t="n">
        <v>1</v>
      </c>
      <c r="D7" s="16" t="n">
        <v>3</v>
      </c>
      <c r="E7" s="16" t="n">
        <v>6</v>
      </c>
      <c r="F7" s="16" t="n">
        <v>5</v>
      </c>
      <c r="G7" s="16" t="n">
        <v>1</v>
      </c>
      <c r="H7" s="16" t="n">
        <f aca="false">SUM(C7:G7)</f>
        <v>16</v>
      </c>
      <c r="I7" s="17" t="n">
        <f aca="false">(F7+G7)/H7</f>
        <v>0.375</v>
      </c>
    </row>
    <row r="8" customFormat="false" ht="31.5" hidden="false" customHeight="true" outlineLevel="0" collapsed="false">
      <c r="B8" s="15" t="s">
        <v>42</v>
      </c>
      <c r="C8" s="16" t="n">
        <v>0</v>
      </c>
      <c r="D8" s="16" t="n">
        <v>1</v>
      </c>
      <c r="E8" s="16" t="n">
        <v>1</v>
      </c>
      <c r="F8" s="16" t="n">
        <v>10</v>
      </c>
      <c r="G8" s="16" t="n">
        <v>4</v>
      </c>
      <c r="H8" s="16" t="n">
        <f aca="false">SUM(C8:G8)</f>
        <v>16</v>
      </c>
      <c r="I8" s="17" t="n">
        <f aca="false">(F8+G8)/H8</f>
        <v>0.875</v>
      </c>
    </row>
    <row r="9" customFormat="false" ht="31.5" hidden="false" customHeight="true" outlineLevel="0" collapsed="false">
      <c r="B9" s="15" t="s">
        <v>43</v>
      </c>
      <c r="C9" s="16" t="n">
        <v>0</v>
      </c>
      <c r="D9" s="16" t="n">
        <v>0</v>
      </c>
      <c r="E9" s="16" t="n">
        <v>1</v>
      </c>
      <c r="F9" s="16" t="n">
        <v>10</v>
      </c>
      <c r="G9" s="16" t="n">
        <v>5</v>
      </c>
      <c r="H9" s="16" t="n">
        <f aca="false">SUM(C9:G9)</f>
        <v>16</v>
      </c>
      <c r="I9" s="17" t="n">
        <f aca="false">(F9+G9)/H9</f>
        <v>0.9375</v>
      </c>
    </row>
    <row r="10" customFormat="false" ht="31.5" hidden="false" customHeight="true" outlineLevel="0" collapsed="false">
      <c r="B10" s="15" t="s">
        <v>44</v>
      </c>
      <c r="C10" s="16" t="n">
        <v>1</v>
      </c>
      <c r="D10" s="16" t="n">
        <v>1</v>
      </c>
      <c r="E10" s="16" t="n">
        <v>5</v>
      </c>
      <c r="F10" s="16" t="n">
        <v>6</v>
      </c>
      <c r="G10" s="16" t="n">
        <v>3</v>
      </c>
      <c r="H10" s="16" t="n">
        <f aca="false">SUM(C10:G10)</f>
        <v>16</v>
      </c>
      <c r="I10" s="17" t="n">
        <f aca="false">(F10+G10)/H10</f>
        <v>0.5625</v>
      </c>
    </row>
    <row r="11" customFormat="false" ht="31.5" hidden="false" customHeight="true" outlineLevel="0" collapsed="false">
      <c r="B11" s="15" t="s">
        <v>45</v>
      </c>
      <c r="C11" s="16" t="n">
        <v>2</v>
      </c>
      <c r="D11" s="16" t="n">
        <v>8</v>
      </c>
      <c r="E11" s="16" t="n">
        <v>1</v>
      </c>
      <c r="F11" s="16" t="n">
        <v>4</v>
      </c>
      <c r="G11" s="16" t="n">
        <v>1</v>
      </c>
      <c r="H11" s="16" t="n">
        <f aca="false">SUM(C11:G11)</f>
        <v>16</v>
      </c>
      <c r="I11" s="17" t="n">
        <f aca="false">(F11+G11)/H11</f>
        <v>0.3125</v>
      </c>
    </row>
    <row r="12" customFormat="false" ht="31.5" hidden="false" customHeight="true" outlineLevel="0" collapsed="false">
      <c r="B12" s="15" t="s">
        <v>46</v>
      </c>
      <c r="C12" s="16" t="n">
        <v>0</v>
      </c>
      <c r="D12" s="16" t="n">
        <v>2</v>
      </c>
      <c r="E12" s="16" t="n">
        <v>5</v>
      </c>
      <c r="F12" s="16" t="n">
        <v>7</v>
      </c>
      <c r="G12" s="16" t="n">
        <v>2</v>
      </c>
      <c r="H12" s="16" t="n">
        <f aca="false">SUM(C12:G12)</f>
        <v>16</v>
      </c>
      <c r="I12" s="17" t="n">
        <f aca="false">(F12+G12)/H12</f>
        <v>0.5625</v>
      </c>
    </row>
    <row r="13" customFormat="false" ht="31.5" hidden="false" customHeight="true" outlineLevel="0" collapsed="false">
      <c r="B13" s="15" t="s">
        <v>47</v>
      </c>
      <c r="C13" s="16" t="n">
        <v>1</v>
      </c>
      <c r="D13" s="16" t="n">
        <v>6</v>
      </c>
      <c r="E13" s="16" t="n">
        <v>2</v>
      </c>
      <c r="F13" s="16" t="n">
        <v>1</v>
      </c>
      <c r="G13" s="16" t="n">
        <v>0</v>
      </c>
      <c r="H13" s="16" t="n">
        <f aca="false">SUM(C13:G13)</f>
        <v>10</v>
      </c>
      <c r="I13" s="17" t="n">
        <f aca="false">(F13+G13)/H13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</cols>
  <sheetData>
    <row r="2" customFormat="false" ht="17.35" hidden="false" customHeight="false" outlineLevel="0" collapsed="false">
      <c r="B2" s="1" t="s">
        <v>48</v>
      </c>
    </row>
    <row r="4" customFormat="false" ht="15" hidden="false" customHeight="false" outlineLevel="0" collapsed="false">
      <c r="B4" s="4" t="s">
        <v>49</v>
      </c>
    </row>
    <row r="5" customFormat="false" ht="26.85" hidden="false" customHeight="false" outlineLevel="0" collapsed="false">
      <c r="B5" s="7" t="s">
        <v>50</v>
      </c>
      <c r="C5" s="7" t="s">
        <v>24</v>
      </c>
      <c r="D5" s="7" t="s">
        <v>25</v>
      </c>
    </row>
    <row r="6" customFormat="false" ht="15" hidden="false" customHeight="false" outlineLevel="0" collapsed="false">
      <c r="B6" s="8" t="s">
        <v>51</v>
      </c>
      <c r="C6" s="9" t="n">
        <v>2</v>
      </c>
      <c r="D6" s="10" t="n">
        <f aca="false">C6/SUM($C$6:$C$10)</f>
        <v>0.2</v>
      </c>
    </row>
    <row r="7" customFormat="false" ht="15" hidden="false" customHeight="false" outlineLevel="0" collapsed="false">
      <c r="B7" s="8" t="s">
        <v>52</v>
      </c>
      <c r="C7" s="9" t="n">
        <v>5</v>
      </c>
      <c r="D7" s="10" t="n">
        <f aca="false">C7/SUM($C$6:$C$10)</f>
        <v>0.5</v>
      </c>
    </row>
    <row r="8" customFormat="false" ht="15" hidden="false" customHeight="false" outlineLevel="0" collapsed="false">
      <c r="B8" s="8" t="s">
        <v>53</v>
      </c>
      <c r="C8" s="9" t="n">
        <v>0</v>
      </c>
      <c r="D8" s="10" t="n">
        <f aca="false">C8/SUM($C$6:$C$10)</f>
        <v>0</v>
      </c>
    </row>
    <row r="9" customFormat="false" ht="15" hidden="false" customHeight="false" outlineLevel="0" collapsed="false">
      <c r="B9" s="8" t="s">
        <v>54</v>
      </c>
      <c r="C9" s="9" t="n">
        <v>3</v>
      </c>
      <c r="D9" s="10" t="n">
        <f aca="false">C9/SUM($C$6:$C$10)</f>
        <v>0.3</v>
      </c>
    </row>
    <row r="10" customFormat="false" ht="15" hidden="false" customHeight="false" outlineLevel="0" collapsed="false">
      <c r="B10" s="8" t="s">
        <v>55</v>
      </c>
      <c r="C10" s="9" t="n">
        <v>0</v>
      </c>
      <c r="D10" s="10" t="n">
        <f aca="false">C10/SUM($C$6:$C$10)</f>
        <v>0</v>
      </c>
    </row>
    <row r="13" customFormat="false" ht="15" hidden="false" customHeight="false" outlineLevel="0" collapsed="false">
      <c r="B13" s="4" t="s">
        <v>56</v>
      </c>
    </row>
    <row r="14" customFormat="false" ht="26.85" hidden="false" customHeight="false" outlineLevel="0" collapsed="false">
      <c r="B14" s="7" t="s">
        <v>57</v>
      </c>
      <c r="C14" s="7" t="s">
        <v>24</v>
      </c>
      <c r="D14" s="7" t="s">
        <v>58</v>
      </c>
    </row>
    <row r="15" customFormat="false" ht="15" hidden="false" customHeight="false" outlineLevel="0" collapsed="false">
      <c r="B15" s="8" t="s">
        <v>59</v>
      </c>
      <c r="C15" s="9" t="n">
        <v>5</v>
      </c>
      <c r="D15" s="10" t="n">
        <f aca="false">C15/10</f>
        <v>0.5</v>
      </c>
    </row>
    <row r="16" customFormat="false" ht="15" hidden="false" customHeight="false" outlineLevel="0" collapsed="false">
      <c r="B16" s="8" t="s">
        <v>60</v>
      </c>
      <c r="C16" s="9" t="n">
        <v>2</v>
      </c>
      <c r="D16" s="10" t="n">
        <f aca="false">C16/10</f>
        <v>0.2</v>
      </c>
    </row>
    <row r="17" customFormat="false" ht="15" hidden="false" customHeight="false" outlineLevel="0" collapsed="false">
      <c r="B17" s="8" t="s">
        <v>61</v>
      </c>
      <c r="C17" s="9" t="n">
        <v>5</v>
      </c>
      <c r="D17" s="10" t="n">
        <f aca="false">C17/10</f>
        <v>0.5</v>
      </c>
    </row>
    <row r="18" customFormat="false" ht="15" hidden="false" customHeight="false" outlineLevel="0" collapsed="false">
      <c r="B18" s="8" t="s">
        <v>62</v>
      </c>
      <c r="C18" s="9" t="n">
        <v>3</v>
      </c>
      <c r="D18" s="10" t="n">
        <f aca="false">C18/10</f>
        <v>0.3</v>
      </c>
    </row>
    <row r="19" customFormat="false" ht="15" hidden="false" customHeight="false" outlineLevel="0" collapsed="false">
      <c r="B19" s="8" t="s">
        <v>63</v>
      </c>
      <c r="C19" s="9" t="n">
        <v>2</v>
      </c>
      <c r="D19" s="10" t="n">
        <f aca="false">C19/10</f>
        <v>0.2</v>
      </c>
    </row>
    <row r="20" customFormat="false" ht="15" hidden="false" customHeight="false" outlineLevel="0" collapsed="false">
      <c r="B20" s="8" t="s">
        <v>64</v>
      </c>
      <c r="C20" s="9" t="n">
        <v>2</v>
      </c>
      <c r="D20" s="10" t="n">
        <f aca="false">C20/10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68"/>
  </cols>
  <sheetData>
    <row r="2" customFormat="false" ht="17.35" hidden="false" customHeight="false" outlineLevel="0" collapsed="false">
      <c r="B2" s="1" t="s">
        <v>65</v>
      </c>
    </row>
    <row r="4" customFormat="false" ht="15" hidden="false" customHeight="false" outlineLevel="0" collapsed="false">
      <c r="B4" s="7" t="s">
        <v>66</v>
      </c>
      <c r="C4" s="7" t="s">
        <v>67</v>
      </c>
      <c r="D4" s="7" t="s">
        <v>68</v>
      </c>
    </row>
    <row r="5" customFormat="false" ht="54.75" hidden="false" customHeight="true" outlineLevel="0" collapsed="false">
      <c r="B5" s="15" t="s">
        <v>69</v>
      </c>
      <c r="C5" s="18" t="s">
        <v>70</v>
      </c>
      <c r="D5" s="19" t="s">
        <v>71</v>
      </c>
    </row>
    <row r="6" customFormat="false" ht="54.75" hidden="false" customHeight="true" outlineLevel="0" collapsed="false">
      <c r="B6" s="15" t="s">
        <v>69</v>
      </c>
      <c r="C6" s="18" t="s">
        <v>72</v>
      </c>
      <c r="D6" s="19" t="s">
        <v>73</v>
      </c>
    </row>
    <row r="7" customFormat="false" ht="54.75" hidden="false" customHeight="true" outlineLevel="0" collapsed="false">
      <c r="B7" s="15" t="s">
        <v>69</v>
      </c>
      <c r="C7" s="18" t="s">
        <v>74</v>
      </c>
      <c r="D7" s="19" t="s">
        <v>75</v>
      </c>
    </row>
    <row r="8" customFormat="false" ht="54.75" hidden="false" customHeight="true" outlineLevel="0" collapsed="false">
      <c r="B8" s="15" t="s">
        <v>69</v>
      </c>
      <c r="C8" s="18" t="s">
        <v>76</v>
      </c>
      <c r="D8" s="19" t="s">
        <v>77</v>
      </c>
    </row>
    <row r="9" customFormat="false" ht="54.75" hidden="false" customHeight="true" outlineLevel="0" collapsed="false">
      <c r="B9" s="15" t="s">
        <v>78</v>
      </c>
      <c r="C9" s="18" t="s">
        <v>79</v>
      </c>
      <c r="D9" s="19" t="s">
        <v>80</v>
      </c>
    </row>
    <row r="10" customFormat="false" ht="54.75" hidden="false" customHeight="true" outlineLevel="0" collapsed="false">
      <c r="B10" s="15" t="s">
        <v>78</v>
      </c>
      <c r="C10" s="18" t="s">
        <v>81</v>
      </c>
      <c r="D10" s="19" t="s">
        <v>82</v>
      </c>
    </row>
    <row r="11" customFormat="false" ht="54.75" hidden="false" customHeight="true" outlineLevel="0" collapsed="false">
      <c r="B11" s="15" t="s">
        <v>83</v>
      </c>
      <c r="C11" s="18" t="s">
        <v>84</v>
      </c>
      <c r="D11" s="19" t="s">
        <v>85</v>
      </c>
    </row>
    <row r="12" customFormat="false" ht="54.75" hidden="false" customHeight="true" outlineLevel="0" collapsed="false">
      <c r="B12" s="15" t="s">
        <v>83</v>
      </c>
      <c r="C12" s="18" t="s">
        <v>86</v>
      </c>
      <c r="D12" s="19" t="s">
        <v>87</v>
      </c>
    </row>
    <row r="13" customFormat="false" ht="54.75" hidden="false" customHeight="true" outlineLevel="0" collapsed="false">
      <c r="B13" s="15" t="s">
        <v>88</v>
      </c>
      <c r="C13" s="18" t="s">
        <v>89</v>
      </c>
      <c r="D13" s="19" t="s">
        <v>90</v>
      </c>
    </row>
    <row r="14" customFormat="false" ht="54.75" hidden="false" customHeight="true" outlineLevel="0" collapsed="false">
      <c r="B14" s="15" t="s">
        <v>88</v>
      </c>
      <c r="C14" s="18" t="s">
        <v>91</v>
      </c>
      <c r="D14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5" min="4" style="0" width="12"/>
  </cols>
  <sheetData>
    <row r="2" customFormat="false" ht="17.35" hidden="false" customHeight="false" outlineLevel="0" collapsed="false">
      <c r="B2" s="1" t="s">
        <v>93</v>
      </c>
    </row>
    <row r="3" customFormat="false" ht="15" hidden="false" customHeight="false" outlineLevel="0" collapsed="false">
      <c r="B3" s="14" t="s">
        <v>94</v>
      </c>
    </row>
    <row r="5" customFormat="false" ht="15" hidden="false" customHeight="false" outlineLevel="0" collapsed="false">
      <c r="B5" s="7" t="s">
        <v>95</v>
      </c>
      <c r="C5" s="7" t="s">
        <v>96</v>
      </c>
      <c r="D5" s="7" t="s">
        <v>24</v>
      </c>
      <c r="E5" s="7" t="s">
        <v>97</v>
      </c>
    </row>
    <row r="6" customFormat="false" ht="15" hidden="false" customHeight="false" outlineLevel="0" collapsed="false">
      <c r="B6" s="9" t="s">
        <v>98</v>
      </c>
      <c r="C6" s="8" t="s">
        <v>26</v>
      </c>
      <c r="D6" s="9" t="n">
        <v>5</v>
      </c>
      <c r="E6" s="9" t="n">
        <v>16</v>
      </c>
    </row>
    <row r="7" customFormat="false" ht="15" hidden="false" customHeight="false" outlineLevel="0" collapsed="false">
      <c r="B7" s="9" t="s">
        <v>98</v>
      </c>
      <c r="C7" s="8" t="s">
        <v>27</v>
      </c>
      <c r="D7" s="9" t="n">
        <v>4</v>
      </c>
      <c r="E7" s="9" t="n">
        <v>16</v>
      </c>
    </row>
    <row r="8" customFormat="false" ht="15" hidden="false" customHeight="false" outlineLevel="0" collapsed="false">
      <c r="B8" s="9" t="s">
        <v>98</v>
      </c>
      <c r="C8" s="8" t="s">
        <v>28</v>
      </c>
      <c r="D8" s="9" t="n">
        <v>5</v>
      </c>
      <c r="E8" s="9" t="n">
        <v>16</v>
      </c>
    </row>
    <row r="9" customFormat="false" ht="15" hidden="false" customHeight="false" outlineLevel="0" collapsed="false">
      <c r="B9" s="9" t="s">
        <v>98</v>
      </c>
      <c r="C9" s="8" t="s">
        <v>29</v>
      </c>
      <c r="D9" s="9" t="n">
        <v>2</v>
      </c>
      <c r="E9" s="9" t="n">
        <v>16</v>
      </c>
    </row>
    <row r="10" customFormat="false" ht="15" hidden="false" customHeight="false" outlineLevel="0" collapsed="false">
      <c r="B10" s="9" t="s">
        <v>99</v>
      </c>
      <c r="C10" s="8" t="s">
        <v>34</v>
      </c>
      <c r="D10" s="9" t="n">
        <v>0</v>
      </c>
      <c r="E10" s="9" t="n">
        <v>16</v>
      </c>
    </row>
    <row r="11" customFormat="false" ht="15" hidden="false" customHeight="false" outlineLevel="0" collapsed="false">
      <c r="B11" s="9" t="s">
        <v>99</v>
      </c>
      <c r="C11" s="8" t="s">
        <v>35</v>
      </c>
      <c r="D11" s="9" t="n">
        <v>7</v>
      </c>
      <c r="E11" s="9" t="n">
        <v>16</v>
      </c>
    </row>
    <row r="12" customFormat="false" ht="15" hidden="false" customHeight="false" outlineLevel="0" collapsed="false">
      <c r="B12" s="9" t="s">
        <v>99</v>
      </c>
      <c r="C12" s="8" t="s">
        <v>36</v>
      </c>
      <c r="D12" s="9" t="n">
        <v>2</v>
      </c>
      <c r="E12" s="9" t="n">
        <v>16</v>
      </c>
    </row>
    <row r="13" customFormat="false" ht="15" hidden="false" customHeight="false" outlineLevel="0" collapsed="false">
      <c r="B13" s="9" t="s">
        <v>99</v>
      </c>
      <c r="C13" s="8" t="s">
        <v>37</v>
      </c>
      <c r="D13" s="9" t="n">
        <v>6</v>
      </c>
      <c r="E13" s="9" t="n">
        <v>16</v>
      </c>
    </row>
    <row r="14" customFormat="false" ht="15" hidden="false" customHeight="false" outlineLevel="0" collapsed="false">
      <c r="B14" s="9" t="s">
        <v>99</v>
      </c>
      <c r="C14" s="8" t="s">
        <v>38</v>
      </c>
      <c r="D14" s="9" t="n">
        <v>1</v>
      </c>
      <c r="E14" s="9" t="n">
        <v>16</v>
      </c>
    </row>
    <row r="15" customFormat="false" ht="15" hidden="false" customHeight="false" outlineLevel="0" collapsed="false">
      <c r="B15" s="9" t="s">
        <v>100</v>
      </c>
      <c r="C15" s="8" t="s">
        <v>34</v>
      </c>
      <c r="D15" s="9" t="n">
        <v>1</v>
      </c>
      <c r="E15" s="9" t="n">
        <v>16</v>
      </c>
    </row>
    <row r="16" customFormat="false" ht="15" hidden="false" customHeight="false" outlineLevel="0" collapsed="false">
      <c r="B16" s="9" t="s">
        <v>100</v>
      </c>
      <c r="C16" s="8" t="s">
        <v>35</v>
      </c>
      <c r="D16" s="9" t="n">
        <v>3</v>
      </c>
      <c r="E16" s="9" t="n">
        <v>16</v>
      </c>
    </row>
    <row r="17" customFormat="false" ht="15" hidden="false" customHeight="false" outlineLevel="0" collapsed="false">
      <c r="B17" s="9" t="s">
        <v>100</v>
      </c>
      <c r="C17" s="8" t="s">
        <v>36</v>
      </c>
      <c r="D17" s="9" t="n">
        <v>6</v>
      </c>
      <c r="E17" s="9" t="n">
        <v>16</v>
      </c>
    </row>
    <row r="18" customFormat="false" ht="15" hidden="false" customHeight="false" outlineLevel="0" collapsed="false">
      <c r="B18" s="9" t="s">
        <v>100</v>
      </c>
      <c r="C18" s="8" t="s">
        <v>37</v>
      </c>
      <c r="D18" s="9" t="n">
        <v>5</v>
      </c>
      <c r="E18" s="9" t="n">
        <v>16</v>
      </c>
    </row>
    <row r="19" customFormat="false" ht="15" hidden="false" customHeight="false" outlineLevel="0" collapsed="false">
      <c r="B19" s="9" t="s">
        <v>100</v>
      </c>
      <c r="C19" s="8" t="s">
        <v>38</v>
      </c>
      <c r="D19" s="9" t="n">
        <v>1</v>
      </c>
      <c r="E19" s="9" t="n">
        <v>16</v>
      </c>
    </row>
    <row r="20" customFormat="false" ht="15" hidden="false" customHeight="false" outlineLevel="0" collapsed="false">
      <c r="B20" s="9" t="s">
        <v>101</v>
      </c>
      <c r="C20" s="8" t="s">
        <v>34</v>
      </c>
      <c r="D20" s="9" t="n">
        <v>0</v>
      </c>
      <c r="E20" s="9" t="n">
        <v>16</v>
      </c>
    </row>
    <row r="21" customFormat="false" ht="15" hidden="false" customHeight="false" outlineLevel="0" collapsed="false">
      <c r="B21" s="9" t="s">
        <v>101</v>
      </c>
      <c r="C21" s="8" t="s">
        <v>35</v>
      </c>
      <c r="D21" s="9" t="n">
        <v>1</v>
      </c>
      <c r="E21" s="9" t="n">
        <v>16</v>
      </c>
    </row>
    <row r="22" customFormat="false" ht="15" hidden="false" customHeight="false" outlineLevel="0" collapsed="false">
      <c r="B22" s="9" t="s">
        <v>101</v>
      </c>
      <c r="C22" s="8" t="s">
        <v>36</v>
      </c>
      <c r="D22" s="9" t="n">
        <v>1</v>
      </c>
      <c r="E22" s="9" t="n">
        <v>16</v>
      </c>
    </row>
    <row r="23" customFormat="false" ht="15" hidden="false" customHeight="false" outlineLevel="0" collapsed="false">
      <c r="B23" s="9" t="s">
        <v>101</v>
      </c>
      <c r="C23" s="8" t="s">
        <v>37</v>
      </c>
      <c r="D23" s="9" t="n">
        <v>10</v>
      </c>
      <c r="E23" s="9" t="n">
        <v>16</v>
      </c>
    </row>
    <row r="24" customFormat="false" ht="15" hidden="false" customHeight="false" outlineLevel="0" collapsed="false">
      <c r="B24" s="9" t="s">
        <v>101</v>
      </c>
      <c r="C24" s="8" t="s">
        <v>38</v>
      </c>
      <c r="D24" s="9" t="n">
        <v>4</v>
      </c>
      <c r="E24" s="9" t="n">
        <v>16</v>
      </c>
    </row>
    <row r="25" customFormat="false" ht="15" hidden="false" customHeight="false" outlineLevel="0" collapsed="false">
      <c r="B25" s="9" t="s">
        <v>102</v>
      </c>
      <c r="C25" s="8" t="s">
        <v>34</v>
      </c>
      <c r="D25" s="9" t="n">
        <v>0</v>
      </c>
      <c r="E25" s="9" t="n">
        <v>16</v>
      </c>
    </row>
    <row r="26" customFormat="false" ht="15" hidden="false" customHeight="false" outlineLevel="0" collapsed="false">
      <c r="B26" s="9" t="s">
        <v>102</v>
      </c>
      <c r="C26" s="8" t="s">
        <v>35</v>
      </c>
      <c r="D26" s="9" t="n">
        <v>0</v>
      </c>
      <c r="E26" s="9" t="n">
        <v>16</v>
      </c>
    </row>
    <row r="27" customFormat="false" ht="15" hidden="false" customHeight="false" outlineLevel="0" collapsed="false">
      <c r="B27" s="9" t="s">
        <v>102</v>
      </c>
      <c r="C27" s="8" t="s">
        <v>36</v>
      </c>
      <c r="D27" s="9" t="n">
        <v>1</v>
      </c>
      <c r="E27" s="9" t="n">
        <v>16</v>
      </c>
    </row>
    <row r="28" customFormat="false" ht="15" hidden="false" customHeight="false" outlineLevel="0" collapsed="false">
      <c r="B28" s="9" t="s">
        <v>102</v>
      </c>
      <c r="C28" s="8" t="s">
        <v>37</v>
      </c>
      <c r="D28" s="9" t="n">
        <v>10</v>
      </c>
      <c r="E28" s="9" t="n">
        <v>16</v>
      </c>
    </row>
    <row r="29" customFormat="false" ht="15" hidden="false" customHeight="false" outlineLevel="0" collapsed="false">
      <c r="B29" s="9" t="s">
        <v>102</v>
      </c>
      <c r="C29" s="8" t="s">
        <v>38</v>
      </c>
      <c r="D29" s="9" t="n">
        <v>5</v>
      </c>
      <c r="E29" s="9" t="n">
        <v>16</v>
      </c>
    </row>
    <row r="30" customFormat="false" ht="15" hidden="false" customHeight="false" outlineLevel="0" collapsed="false">
      <c r="B30" s="9" t="s">
        <v>103</v>
      </c>
      <c r="C30" s="8" t="s">
        <v>34</v>
      </c>
      <c r="D30" s="9" t="n">
        <v>1</v>
      </c>
      <c r="E30" s="9" t="n">
        <v>16</v>
      </c>
    </row>
    <row r="31" customFormat="false" ht="15" hidden="false" customHeight="false" outlineLevel="0" collapsed="false">
      <c r="B31" s="9" t="s">
        <v>103</v>
      </c>
      <c r="C31" s="8" t="s">
        <v>35</v>
      </c>
      <c r="D31" s="9" t="n">
        <v>1</v>
      </c>
      <c r="E31" s="9" t="n">
        <v>16</v>
      </c>
    </row>
    <row r="32" customFormat="false" ht="15" hidden="false" customHeight="false" outlineLevel="0" collapsed="false">
      <c r="B32" s="9" t="s">
        <v>103</v>
      </c>
      <c r="C32" s="8" t="s">
        <v>36</v>
      </c>
      <c r="D32" s="9" t="n">
        <v>5</v>
      </c>
      <c r="E32" s="9" t="n">
        <v>16</v>
      </c>
    </row>
    <row r="33" customFormat="false" ht="15" hidden="false" customHeight="false" outlineLevel="0" collapsed="false">
      <c r="B33" s="9" t="s">
        <v>103</v>
      </c>
      <c r="C33" s="8" t="s">
        <v>37</v>
      </c>
      <c r="D33" s="9" t="n">
        <v>6</v>
      </c>
      <c r="E33" s="9" t="n">
        <v>16</v>
      </c>
    </row>
    <row r="34" customFormat="false" ht="15" hidden="false" customHeight="false" outlineLevel="0" collapsed="false">
      <c r="B34" s="9" t="s">
        <v>103</v>
      </c>
      <c r="C34" s="8" t="s">
        <v>38</v>
      </c>
      <c r="D34" s="9" t="n">
        <v>3</v>
      </c>
      <c r="E34" s="9" t="n">
        <v>16</v>
      </c>
    </row>
    <row r="35" customFormat="false" ht="15" hidden="false" customHeight="false" outlineLevel="0" collapsed="false">
      <c r="B35" s="9" t="s">
        <v>104</v>
      </c>
      <c r="C35" s="8" t="s">
        <v>34</v>
      </c>
      <c r="D35" s="9" t="n">
        <v>2</v>
      </c>
      <c r="E35" s="9" t="n">
        <v>16</v>
      </c>
    </row>
    <row r="36" customFormat="false" ht="15" hidden="false" customHeight="false" outlineLevel="0" collapsed="false">
      <c r="B36" s="9" t="s">
        <v>104</v>
      </c>
      <c r="C36" s="8" t="s">
        <v>35</v>
      </c>
      <c r="D36" s="9" t="n">
        <v>8</v>
      </c>
      <c r="E36" s="9" t="n">
        <v>16</v>
      </c>
    </row>
    <row r="37" customFormat="false" ht="15" hidden="false" customHeight="false" outlineLevel="0" collapsed="false">
      <c r="B37" s="9" t="s">
        <v>104</v>
      </c>
      <c r="C37" s="8" t="s">
        <v>36</v>
      </c>
      <c r="D37" s="9" t="n">
        <v>1</v>
      </c>
      <c r="E37" s="9" t="n">
        <v>16</v>
      </c>
    </row>
    <row r="38" customFormat="false" ht="15" hidden="false" customHeight="false" outlineLevel="0" collapsed="false">
      <c r="B38" s="9" t="s">
        <v>104</v>
      </c>
      <c r="C38" s="8" t="s">
        <v>37</v>
      </c>
      <c r="D38" s="9" t="n">
        <v>4</v>
      </c>
      <c r="E38" s="9" t="n">
        <v>16</v>
      </c>
    </row>
    <row r="39" customFormat="false" ht="15" hidden="false" customHeight="false" outlineLevel="0" collapsed="false">
      <c r="B39" s="9" t="s">
        <v>104</v>
      </c>
      <c r="C39" s="8" t="s">
        <v>38</v>
      </c>
      <c r="D39" s="9" t="n">
        <v>1</v>
      </c>
      <c r="E39" s="9" t="n">
        <v>16</v>
      </c>
    </row>
    <row r="40" customFormat="false" ht="15" hidden="false" customHeight="false" outlineLevel="0" collapsed="false">
      <c r="B40" s="9" t="s">
        <v>105</v>
      </c>
      <c r="C40" s="8" t="s">
        <v>34</v>
      </c>
      <c r="D40" s="9" t="n">
        <v>0</v>
      </c>
      <c r="E40" s="9" t="n">
        <v>16</v>
      </c>
    </row>
    <row r="41" customFormat="false" ht="15" hidden="false" customHeight="false" outlineLevel="0" collapsed="false">
      <c r="B41" s="9" t="s">
        <v>105</v>
      </c>
      <c r="C41" s="8" t="s">
        <v>35</v>
      </c>
      <c r="D41" s="9" t="n">
        <v>2</v>
      </c>
      <c r="E41" s="9" t="n">
        <v>16</v>
      </c>
    </row>
    <row r="42" customFormat="false" ht="15" hidden="false" customHeight="false" outlineLevel="0" collapsed="false">
      <c r="B42" s="9" t="s">
        <v>105</v>
      </c>
      <c r="C42" s="8" t="s">
        <v>36</v>
      </c>
      <c r="D42" s="9" t="n">
        <v>5</v>
      </c>
      <c r="E42" s="9" t="n">
        <v>16</v>
      </c>
    </row>
    <row r="43" customFormat="false" ht="15" hidden="false" customHeight="false" outlineLevel="0" collapsed="false">
      <c r="B43" s="9" t="s">
        <v>105</v>
      </c>
      <c r="C43" s="8" t="s">
        <v>37</v>
      </c>
      <c r="D43" s="9" t="n">
        <v>7</v>
      </c>
      <c r="E43" s="9" t="n">
        <v>16</v>
      </c>
    </row>
    <row r="44" customFormat="false" ht="15" hidden="false" customHeight="false" outlineLevel="0" collapsed="false">
      <c r="B44" s="9" t="s">
        <v>105</v>
      </c>
      <c r="C44" s="8" t="s">
        <v>38</v>
      </c>
      <c r="D44" s="9" t="n">
        <v>2</v>
      </c>
      <c r="E44" s="9" t="n">
        <v>16</v>
      </c>
    </row>
    <row r="45" customFormat="false" ht="15" hidden="false" customHeight="false" outlineLevel="0" collapsed="false">
      <c r="B45" s="9" t="s">
        <v>106</v>
      </c>
      <c r="C45" s="8" t="s">
        <v>34</v>
      </c>
      <c r="D45" s="9" t="n">
        <v>1</v>
      </c>
      <c r="E45" s="9" t="n">
        <v>10</v>
      </c>
    </row>
    <row r="46" customFormat="false" ht="15" hidden="false" customHeight="false" outlineLevel="0" collapsed="false">
      <c r="B46" s="9" t="s">
        <v>106</v>
      </c>
      <c r="C46" s="8" t="s">
        <v>35</v>
      </c>
      <c r="D46" s="9" t="n">
        <v>6</v>
      </c>
      <c r="E46" s="9" t="n">
        <v>10</v>
      </c>
    </row>
    <row r="47" customFormat="false" ht="15" hidden="false" customHeight="false" outlineLevel="0" collapsed="false">
      <c r="B47" s="9" t="s">
        <v>106</v>
      </c>
      <c r="C47" s="8" t="s">
        <v>36</v>
      </c>
      <c r="D47" s="9" t="n">
        <v>2</v>
      </c>
      <c r="E47" s="9" t="n">
        <v>10</v>
      </c>
    </row>
    <row r="48" customFormat="false" ht="15" hidden="false" customHeight="false" outlineLevel="0" collapsed="false">
      <c r="B48" s="9" t="s">
        <v>106</v>
      </c>
      <c r="C48" s="8" t="s">
        <v>37</v>
      </c>
      <c r="D48" s="9" t="n">
        <v>1</v>
      </c>
      <c r="E48" s="9" t="n">
        <v>10</v>
      </c>
    </row>
    <row r="49" customFormat="false" ht="15" hidden="false" customHeight="false" outlineLevel="0" collapsed="false">
      <c r="B49" s="9" t="s">
        <v>106</v>
      </c>
      <c r="C49" s="8" t="s">
        <v>38</v>
      </c>
      <c r="D49" s="9" t="n">
        <v>0</v>
      </c>
      <c r="E49" s="9" t="n">
        <v>10</v>
      </c>
    </row>
    <row r="50" customFormat="false" ht="15" hidden="false" customHeight="false" outlineLevel="0" collapsed="false">
      <c r="B50" s="9" t="s">
        <v>107</v>
      </c>
      <c r="C50" s="8" t="s">
        <v>108</v>
      </c>
      <c r="D50" s="9" t="n">
        <v>2</v>
      </c>
      <c r="E50" s="9" t="n">
        <v>10</v>
      </c>
    </row>
    <row r="51" customFormat="false" ht="15" hidden="false" customHeight="false" outlineLevel="0" collapsed="false">
      <c r="B51" s="9" t="s">
        <v>107</v>
      </c>
      <c r="C51" s="8" t="s">
        <v>109</v>
      </c>
      <c r="D51" s="9" t="n">
        <v>5</v>
      </c>
      <c r="E51" s="9" t="n">
        <v>10</v>
      </c>
    </row>
    <row r="52" customFormat="false" ht="15" hidden="false" customHeight="false" outlineLevel="0" collapsed="false">
      <c r="B52" s="9" t="s">
        <v>107</v>
      </c>
      <c r="C52" s="8" t="s">
        <v>53</v>
      </c>
      <c r="D52" s="9" t="n">
        <v>0</v>
      </c>
      <c r="E52" s="9" t="n">
        <v>10</v>
      </c>
    </row>
    <row r="53" customFormat="false" ht="15" hidden="false" customHeight="false" outlineLevel="0" collapsed="false">
      <c r="B53" s="9" t="s">
        <v>107</v>
      </c>
      <c r="C53" s="8" t="s">
        <v>54</v>
      </c>
      <c r="D53" s="9" t="n">
        <v>3</v>
      </c>
      <c r="E53" s="9" t="n">
        <v>10</v>
      </c>
    </row>
    <row r="54" customFormat="false" ht="15" hidden="false" customHeight="false" outlineLevel="0" collapsed="false">
      <c r="B54" s="9" t="s">
        <v>107</v>
      </c>
      <c r="C54" s="8" t="s">
        <v>55</v>
      </c>
      <c r="D54" s="9" t="n">
        <v>0</v>
      </c>
      <c r="E54" s="9" t="n">
        <v>10</v>
      </c>
    </row>
    <row r="55" customFormat="false" ht="15" hidden="false" customHeight="false" outlineLevel="0" collapsed="false">
      <c r="B55" s="9" t="s">
        <v>110</v>
      </c>
      <c r="C55" s="8" t="s">
        <v>59</v>
      </c>
      <c r="D55" s="9" t="n">
        <v>5</v>
      </c>
      <c r="E55" s="9" t="n">
        <v>10</v>
      </c>
    </row>
    <row r="56" customFormat="false" ht="15" hidden="false" customHeight="false" outlineLevel="0" collapsed="false">
      <c r="B56" s="9" t="s">
        <v>110</v>
      </c>
      <c r="C56" s="8" t="s">
        <v>60</v>
      </c>
      <c r="D56" s="9" t="n">
        <v>2</v>
      </c>
      <c r="E56" s="9" t="n">
        <v>10</v>
      </c>
    </row>
    <row r="57" customFormat="false" ht="15" hidden="false" customHeight="false" outlineLevel="0" collapsed="false">
      <c r="B57" s="9" t="s">
        <v>110</v>
      </c>
      <c r="C57" s="8" t="s">
        <v>61</v>
      </c>
      <c r="D57" s="9" t="n">
        <v>5</v>
      </c>
      <c r="E57" s="9" t="n">
        <v>10</v>
      </c>
    </row>
    <row r="58" customFormat="false" ht="15" hidden="false" customHeight="false" outlineLevel="0" collapsed="false">
      <c r="B58" s="9" t="s">
        <v>110</v>
      </c>
      <c r="C58" s="8" t="s">
        <v>62</v>
      </c>
      <c r="D58" s="9" t="n">
        <v>3</v>
      </c>
      <c r="E58" s="9" t="n">
        <v>10</v>
      </c>
    </row>
    <row r="59" customFormat="false" ht="15" hidden="false" customHeight="false" outlineLevel="0" collapsed="false">
      <c r="B59" s="9" t="s">
        <v>110</v>
      </c>
      <c r="C59" s="8" t="s">
        <v>63</v>
      </c>
      <c r="D59" s="9" t="n">
        <v>2</v>
      </c>
      <c r="E59" s="9" t="n">
        <v>10</v>
      </c>
    </row>
    <row r="60" customFormat="false" ht="15" hidden="false" customHeight="false" outlineLevel="0" collapsed="false">
      <c r="B60" s="9" t="s">
        <v>110</v>
      </c>
      <c r="C60" s="8" t="s">
        <v>64</v>
      </c>
      <c r="D60" s="9" t="n">
        <v>2</v>
      </c>
      <c r="E60" s="9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2026-07-27T23:14:44Z</dcterms:created>
  <dc:creator>openpyxl</dc:creator>
  <dc:description/>
  <dc:language>en-US</dc:language>
  <cp:lastModifiedBy/>
  <dcterms:modified xsi:type="dcterms:W3CDTF">2026-07-27T23:14:48Z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